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powerbi\"/>
    </mc:Choice>
  </mc:AlternateContent>
  <xr:revisionPtr revIDLastSave="0" documentId="13_ncr:1_{D299671B-ED58-47FA-A3FA-C31EB334A62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2" l="1"/>
  <c r="C16" i="2"/>
  <c r="O16" i="2"/>
  <c r="E16" i="2"/>
  <c r="F16" i="2"/>
  <c r="G16" i="2"/>
  <c r="H16" i="2"/>
  <c r="I16" i="2"/>
  <c r="J16" i="2"/>
  <c r="K16" i="2"/>
  <c r="L16" i="2"/>
  <c r="M16" i="2"/>
  <c r="N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B16" i="2"/>
</calcChain>
</file>

<file path=xl/sharedStrings.xml><?xml version="1.0" encoding="utf-8"?>
<sst xmlns="http://schemas.openxmlformats.org/spreadsheetml/2006/main" count="6" uniqueCount="3">
  <si>
    <t>Total</t>
  </si>
  <si>
    <t>Sales Territoy Key</t>
  </si>
  <si>
    <t>SALES PLAN 2017-2019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</si>
</sst>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yy;@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medium">
        <color auto="1"/>
      </right>
      <top/>
      <bottom style="double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3" borderId="14" xfId="0" applyFont="1" applyFill="1" applyBorder="1" applyAlignment="1">
      <alignment horizontal="center" vertical="center" wrapText="1"/>
    </xf>
    <xf numFmtId="164" fontId="1" fillId="3" borderId="14" xfId="0" applyNumberFormat="1" applyFont="1" applyFill="1" applyBorder="1" applyAlignment="1">
      <alignment horizontal="center" vertical="center" wrapText="1"/>
    </xf>
    <xf numFmtId="164" fontId="1" fillId="3" borderId="15" xfId="0" applyNumberFormat="1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>
      <alignment vertical="center" wrapText="1"/>
    </xf>
    <xf numFmtId="3" fontId="0" fillId="3" borderId="6" xfId="0" applyNumberFormat="1" applyFill="1" applyBorder="1" applyAlignment="1">
      <alignment vertical="center" wrapText="1"/>
    </xf>
    <xf numFmtId="3" fontId="0" fillId="3" borderId="2" xfId="0" applyNumberFormat="1" applyFill="1" applyBorder="1" applyAlignment="1">
      <alignment vertical="center" wrapText="1"/>
    </xf>
    <xf numFmtId="3" fontId="0" fillId="3" borderId="3" xfId="0" applyNumberFormat="1" applyFill="1" applyBorder="1" applyAlignment="1">
      <alignment vertical="center" wrapText="1"/>
    </xf>
    <xf numFmtId="3" fontId="1" fillId="3" borderId="8" xfId="0" applyNumberFormat="1" applyFont="1" applyFill="1" applyBorder="1" applyAlignment="1">
      <alignment vertical="center" wrapText="1"/>
    </xf>
    <xf numFmtId="3" fontId="1" fillId="3" borderId="9" xfId="0" applyNumberFormat="1" applyFont="1" applyFill="1" applyBorder="1" applyAlignment="1">
      <alignment vertical="center" wrapText="1"/>
    </xf>
    <xf numFmtId="0" fontId="1" fillId="4" borderId="14" xfId="0" applyFont="1" applyFill="1" applyBorder="1" applyAlignment="1">
      <alignment horizontal="center" vertical="center" wrapText="1"/>
    </xf>
    <xf numFmtId="164" fontId="1" fillId="4" borderId="14" xfId="0" applyNumberFormat="1" applyFont="1" applyFill="1" applyBorder="1" applyAlignment="1">
      <alignment horizontal="center" vertical="center" wrapText="1"/>
    </xf>
    <xf numFmtId="3" fontId="0" fillId="4" borderId="5" xfId="0" applyNumberFormat="1" applyFill="1" applyBorder="1" applyAlignment="1">
      <alignment vertical="center" wrapText="1"/>
    </xf>
    <xf numFmtId="3" fontId="0" fillId="4" borderId="2" xfId="0" applyNumberFormat="1" applyFill="1" applyBorder="1" applyAlignment="1">
      <alignment vertical="center" wrapText="1"/>
    </xf>
    <xf numFmtId="3" fontId="1" fillId="4" borderId="8" xfId="0" applyNumberFormat="1" applyFont="1" applyFill="1" applyBorder="1" applyAlignment="1">
      <alignment vertical="center" wrapText="1"/>
    </xf>
    <xf numFmtId="0" fontId="1" fillId="5" borderId="14" xfId="0" applyFont="1" applyFill="1" applyBorder="1" applyAlignment="1">
      <alignment horizontal="center" vertical="center" wrapText="1"/>
    </xf>
    <xf numFmtId="164" fontId="1" fillId="5" borderId="14" xfId="0" applyNumberFormat="1" applyFont="1" applyFill="1" applyBorder="1" applyAlignment="1">
      <alignment horizontal="center" vertical="center" wrapText="1"/>
    </xf>
    <xf numFmtId="3" fontId="1" fillId="5" borderId="5" xfId="0" applyNumberFormat="1" applyFont="1" applyFill="1" applyBorder="1" applyAlignment="1">
      <alignment vertical="center" wrapText="1"/>
    </xf>
    <xf numFmtId="3" fontId="0" fillId="5" borderId="5" xfId="0" applyNumberFormat="1" applyFill="1" applyBorder="1" applyAlignment="1">
      <alignment vertical="center" wrapText="1"/>
    </xf>
    <xf numFmtId="3" fontId="1" fillId="5" borderId="2" xfId="0" applyNumberFormat="1" applyFont="1" applyFill="1" applyBorder="1" applyAlignment="1">
      <alignment vertical="center" wrapText="1"/>
    </xf>
    <xf numFmtId="3" fontId="0" fillId="5" borderId="2" xfId="0" applyNumberFormat="1" applyFill="1" applyBorder="1" applyAlignment="1">
      <alignment vertical="center" wrapText="1"/>
    </xf>
    <xf numFmtId="3" fontId="1" fillId="5" borderId="8" xfId="0" applyNumberFormat="1" applyFont="1" applyFill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6"/>
  <sheetViews>
    <sheetView tabSelected="1" zoomScaleNormal="100" workbookViewId="0">
      <pane xSplit="1" topLeftCell="B1" activePane="topRight" state="frozen"/>
      <selection pane="topRight" activeCell="A8" sqref="A8"/>
    </sheetView>
  </sheetViews>
  <sheetFormatPr defaultColWidth="8.81640625" defaultRowHeight="14.5" outlineLevelCol="1" x14ac:dyDescent="0.35"/>
  <cols>
    <col min="1" max="1" width="25.81640625" style="2" customWidth="1"/>
    <col min="2" max="2" width="10.453125" style="2" customWidth="1"/>
    <col min="3" max="14" width="10.453125" style="2" customWidth="1" outlineLevel="1"/>
    <col min="15" max="15" width="10.453125" style="2" customWidth="1"/>
    <col min="16" max="27" width="10.453125" style="2" customWidth="1" outlineLevel="1"/>
    <col min="28" max="28" width="10.453125" style="2" customWidth="1"/>
    <col min="29" max="40" width="10.453125" style="2" customWidth="1" outlineLevel="1"/>
    <col min="41" max="16384" width="8.81640625" style="2"/>
  </cols>
  <sheetData>
    <row r="1" spans="1:41" ht="23.75" customHeight="1" thickBot="1" x14ac:dyDescent="0.4">
      <c r="A1" s="31" t="s">
        <v>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</row>
    <row r="2" spans="1:41" ht="8" customHeight="1" thickTop="1" thickBot="1" x14ac:dyDescent="0.4"/>
    <row r="3" spans="1:41" s="3" customFormat="1" ht="26" customHeight="1" x14ac:dyDescent="0.35">
      <c r="A3" s="32" t="s">
        <v>1</v>
      </c>
      <c r="B3" s="34">
        <v>2017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  <c r="O3" s="37">
        <v>2018</v>
      </c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9"/>
      <c r="AB3" s="40">
        <v>2019</v>
      </c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2"/>
      <c r="AO3" s="7"/>
    </row>
    <row r="4" spans="1:41" s="3" customFormat="1" ht="15" thickBot="1" x14ac:dyDescent="0.4">
      <c r="A4" s="33"/>
      <c r="B4" s="24" t="s">
        <v>0</v>
      </c>
      <c r="C4" s="25">
        <v>42736</v>
      </c>
      <c r="D4" s="25">
        <v>42767</v>
      </c>
      <c r="E4" s="25">
        <v>42795</v>
      </c>
      <c r="F4" s="25">
        <v>42826</v>
      </c>
      <c r="G4" s="25">
        <v>42856</v>
      </c>
      <c r="H4" s="25">
        <v>42887</v>
      </c>
      <c r="I4" s="25">
        <v>42917</v>
      </c>
      <c r="J4" s="25">
        <v>42948</v>
      </c>
      <c r="K4" s="25">
        <v>42979</v>
      </c>
      <c r="L4" s="25">
        <v>43009</v>
      </c>
      <c r="M4" s="25">
        <v>43040</v>
      </c>
      <c r="N4" s="25">
        <v>43070</v>
      </c>
      <c r="O4" s="19" t="s">
        <v>0</v>
      </c>
      <c r="P4" s="20">
        <v>43101</v>
      </c>
      <c r="Q4" s="20">
        <v>43132</v>
      </c>
      <c r="R4" s="20">
        <v>43160</v>
      </c>
      <c r="S4" s="20">
        <v>43191</v>
      </c>
      <c r="T4" s="20">
        <v>43221</v>
      </c>
      <c r="U4" s="20">
        <v>43252</v>
      </c>
      <c r="V4" s="20">
        <v>43282</v>
      </c>
      <c r="W4" s="20">
        <v>43313</v>
      </c>
      <c r="X4" s="20">
        <v>43344</v>
      </c>
      <c r="Y4" s="20">
        <v>43374</v>
      </c>
      <c r="Z4" s="20">
        <v>43405</v>
      </c>
      <c r="AA4" s="20">
        <v>43435</v>
      </c>
      <c r="AB4" s="10" t="s">
        <v>0</v>
      </c>
      <c r="AC4" s="11">
        <v>43466</v>
      </c>
      <c r="AD4" s="11">
        <v>43497</v>
      </c>
      <c r="AE4" s="11">
        <v>43525</v>
      </c>
      <c r="AF4" s="11">
        <v>43556</v>
      </c>
      <c r="AG4" s="11">
        <v>43586</v>
      </c>
      <c r="AH4" s="11">
        <v>43617</v>
      </c>
      <c r="AI4" s="11">
        <v>43647</v>
      </c>
      <c r="AJ4" s="11">
        <v>43678</v>
      </c>
      <c r="AK4" s="11">
        <v>43709</v>
      </c>
      <c r="AL4" s="11">
        <v>43739</v>
      </c>
      <c r="AM4" s="11">
        <v>43770</v>
      </c>
      <c r="AN4" s="12">
        <v>43800</v>
      </c>
      <c r="AO4" s="7"/>
    </row>
    <row r="5" spans="1:41" ht="15" thickTop="1" x14ac:dyDescent="0.35">
      <c r="A5" s="5">
        <v>1</v>
      </c>
      <c r="B5" s="26">
        <v>898682</v>
      </c>
      <c r="C5" s="27">
        <v>6400000</v>
      </c>
      <c r="D5" s="27">
        <v>6000000</v>
      </c>
      <c r="E5" s="27">
        <v>8000000</v>
      </c>
      <c r="F5" s="27">
        <v>7900000</v>
      </c>
      <c r="G5" s="27">
        <v>6800000</v>
      </c>
      <c r="H5" s="27">
        <v>6600000</v>
      </c>
      <c r="I5" s="27">
        <v>6200000</v>
      </c>
      <c r="J5" s="27">
        <v>7700000</v>
      </c>
      <c r="K5" s="27">
        <v>6300000</v>
      </c>
      <c r="L5" s="27">
        <v>7500000</v>
      </c>
      <c r="M5" s="27">
        <v>5100000</v>
      </c>
      <c r="N5" s="27">
        <v>6800000</v>
      </c>
      <c r="O5" s="21">
        <v>896473</v>
      </c>
      <c r="P5" s="21">
        <v>520000</v>
      </c>
      <c r="Q5" s="21">
        <v>700000</v>
      </c>
      <c r="R5" s="21">
        <v>580000</v>
      </c>
      <c r="S5" s="21">
        <v>780000</v>
      </c>
      <c r="T5" s="21">
        <v>600000</v>
      </c>
      <c r="U5" s="21">
        <v>710000</v>
      </c>
      <c r="V5" s="21">
        <v>710000</v>
      </c>
      <c r="W5" s="21">
        <v>490000</v>
      </c>
      <c r="X5" s="21">
        <v>560000</v>
      </c>
      <c r="Y5" s="21">
        <v>540000</v>
      </c>
      <c r="Z5" s="21">
        <v>620000</v>
      </c>
      <c r="AA5" s="21">
        <v>740000</v>
      </c>
      <c r="AB5" s="13">
        <v>891980</v>
      </c>
      <c r="AC5" s="13">
        <v>580000</v>
      </c>
      <c r="AD5" s="13">
        <v>740000</v>
      </c>
      <c r="AE5" s="13">
        <v>580000</v>
      </c>
      <c r="AF5" s="13">
        <v>700000</v>
      </c>
      <c r="AG5" s="13">
        <v>620000</v>
      </c>
      <c r="AH5" s="13">
        <v>750000</v>
      </c>
      <c r="AI5" s="13">
        <v>780000</v>
      </c>
      <c r="AJ5" s="13">
        <v>610000</v>
      </c>
      <c r="AK5" s="13">
        <v>710000</v>
      </c>
      <c r="AL5" s="13">
        <v>590000</v>
      </c>
      <c r="AM5" s="13">
        <v>770000</v>
      </c>
      <c r="AN5" s="14">
        <v>520000</v>
      </c>
      <c r="AO5" s="8"/>
    </row>
    <row r="6" spans="1:41" x14ac:dyDescent="0.35">
      <c r="A6" s="4">
        <v>2</v>
      </c>
      <c r="B6" s="28">
        <v>788849</v>
      </c>
      <c r="C6" s="29">
        <v>7000000</v>
      </c>
      <c r="D6" s="29">
        <v>6400000</v>
      </c>
      <c r="E6" s="29">
        <v>8000000</v>
      </c>
      <c r="F6" s="29">
        <v>6800000</v>
      </c>
      <c r="G6" s="29">
        <v>6200000</v>
      </c>
      <c r="H6" s="29">
        <v>6300000</v>
      </c>
      <c r="I6" s="29">
        <v>7600000</v>
      </c>
      <c r="J6" s="29">
        <v>6100000</v>
      </c>
      <c r="K6" s="29">
        <v>5600000</v>
      </c>
      <c r="L6" s="29">
        <v>8000000</v>
      </c>
      <c r="M6" s="29">
        <v>6300000</v>
      </c>
      <c r="N6" s="29">
        <v>6700000</v>
      </c>
      <c r="O6" s="22">
        <v>922457</v>
      </c>
      <c r="P6" s="22">
        <v>830000</v>
      </c>
      <c r="Q6" s="22">
        <v>570000</v>
      </c>
      <c r="R6" s="22">
        <v>770000</v>
      </c>
      <c r="S6" s="22">
        <v>580000</v>
      </c>
      <c r="T6" s="22">
        <v>800000</v>
      </c>
      <c r="U6" s="22">
        <v>600000</v>
      </c>
      <c r="V6" s="22">
        <v>640000</v>
      </c>
      <c r="W6" s="22">
        <v>870000</v>
      </c>
      <c r="X6" s="22">
        <v>700000</v>
      </c>
      <c r="Y6" s="22">
        <v>690000</v>
      </c>
      <c r="Z6" s="22">
        <v>590000</v>
      </c>
      <c r="AA6" s="22">
        <v>850000</v>
      </c>
      <c r="AB6" s="15">
        <v>863893</v>
      </c>
      <c r="AC6" s="15">
        <v>680000</v>
      </c>
      <c r="AD6" s="15">
        <v>760000</v>
      </c>
      <c r="AE6" s="15">
        <v>530000</v>
      </c>
      <c r="AF6" s="15">
        <v>850000</v>
      </c>
      <c r="AG6" s="15">
        <v>850000</v>
      </c>
      <c r="AH6" s="15">
        <v>580000</v>
      </c>
      <c r="AI6" s="15">
        <v>780000</v>
      </c>
      <c r="AJ6" s="15">
        <v>640000</v>
      </c>
      <c r="AK6" s="15">
        <v>570000</v>
      </c>
      <c r="AL6" s="15">
        <v>570000</v>
      </c>
      <c r="AM6" s="15">
        <v>600000</v>
      </c>
      <c r="AN6" s="16">
        <v>740000</v>
      </c>
      <c r="AO6" s="8"/>
    </row>
    <row r="7" spans="1:41" x14ac:dyDescent="0.35">
      <c r="A7" s="4">
        <v>3</v>
      </c>
      <c r="B7" s="28">
        <v>772558</v>
      </c>
      <c r="C7" s="29">
        <v>6400000</v>
      </c>
      <c r="D7" s="29">
        <v>7700000</v>
      </c>
      <c r="E7" s="29">
        <v>6500000</v>
      </c>
      <c r="F7" s="29">
        <v>5800000</v>
      </c>
      <c r="G7" s="29">
        <v>5600000</v>
      </c>
      <c r="H7" s="29">
        <v>6800000</v>
      </c>
      <c r="I7" s="29">
        <v>7600000</v>
      </c>
      <c r="J7" s="29">
        <v>5600000</v>
      </c>
      <c r="K7" s="29">
        <v>6600000</v>
      </c>
      <c r="L7" s="29">
        <v>5300000</v>
      </c>
      <c r="M7" s="29">
        <v>7000000</v>
      </c>
      <c r="N7" s="29">
        <v>5300000</v>
      </c>
      <c r="O7" s="22">
        <v>751993</v>
      </c>
      <c r="P7" s="22">
        <v>560000</v>
      </c>
      <c r="Q7" s="22">
        <v>640000</v>
      </c>
      <c r="R7" s="22">
        <v>670000</v>
      </c>
      <c r="S7" s="22">
        <v>780000</v>
      </c>
      <c r="T7" s="22">
        <v>740000</v>
      </c>
      <c r="U7" s="22">
        <v>740000</v>
      </c>
      <c r="V7" s="22">
        <v>670000</v>
      </c>
      <c r="W7" s="22">
        <v>770000</v>
      </c>
      <c r="X7" s="22">
        <v>670000</v>
      </c>
      <c r="Y7" s="22">
        <v>600000</v>
      </c>
      <c r="Z7" s="22">
        <v>540000</v>
      </c>
      <c r="AA7" s="22">
        <v>720000</v>
      </c>
      <c r="AB7" s="15">
        <v>753856</v>
      </c>
      <c r="AC7" s="15">
        <v>720000</v>
      </c>
      <c r="AD7" s="15">
        <v>680000</v>
      </c>
      <c r="AE7" s="15">
        <v>520000</v>
      </c>
      <c r="AF7" s="15">
        <v>520000</v>
      </c>
      <c r="AG7" s="15">
        <v>740000</v>
      </c>
      <c r="AH7" s="15">
        <v>700000</v>
      </c>
      <c r="AI7" s="15">
        <v>510000</v>
      </c>
      <c r="AJ7" s="15">
        <v>730000</v>
      </c>
      <c r="AK7" s="15">
        <v>780000</v>
      </c>
      <c r="AL7" s="15">
        <v>800000</v>
      </c>
      <c r="AM7" s="15">
        <v>580000</v>
      </c>
      <c r="AN7" s="16">
        <v>770000</v>
      </c>
      <c r="AO7" s="8"/>
    </row>
    <row r="8" spans="1:41" x14ac:dyDescent="0.35">
      <c r="A8" s="4">
        <v>4</v>
      </c>
      <c r="B8" s="28">
        <v>885466</v>
      </c>
      <c r="C8" s="29">
        <v>7200000</v>
      </c>
      <c r="D8" s="29">
        <v>7200000</v>
      </c>
      <c r="E8" s="29">
        <v>7800000</v>
      </c>
      <c r="F8" s="29">
        <v>5600000</v>
      </c>
      <c r="G8" s="29">
        <v>7000000</v>
      </c>
      <c r="H8" s="29">
        <v>7500000</v>
      </c>
      <c r="I8" s="29">
        <v>8600000</v>
      </c>
      <c r="J8" s="29">
        <v>6800000</v>
      </c>
      <c r="K8" s="29">
        <v>6500000</v>
      </c>
      <c r="L8" s="29">
        <v>7700000</v>
      </c>
      <c r="M8" s="29">
        <v>5800000</v>
      </c>
      <c r="N8" s="29">
        <v>8200000</v>
      </c>
      <c r="O8" s="22">
        <v>862734</v>
      </c>
      <c r="P8" s="22">
        <v>630000</v>
      </c>
      <c r="Q8" s="22">
        <v>890000</v>
      </c>
      <c r="R8" s="22">
        <v>600000</v>
      </c>
      <c r="S8" s="22">
        <v>620000</v>
      </c>
      <c r="T8" s="22">
        <v>640000</v>
      </c>
      <c r="U8" s="22">
        <v>870000</v>
      </c>
      <c r="V8" s="22">
        <v>660000</v>
      </c>
      <c r="W8" s="22">
        <v>710000</v>
      </c>
      <c r="X8" s="22">
        <v>660000</v>
      </c>
      <c r="Y8" s="22">
        <v>600000</v>
      </c>
      <c r="Z8" s="22">
        <v>730000</v>
      </c>
      <c r="AA8" s="22">
        <v>710000</v>
      </c>
      <c r="AB8" s="15">
        <v>840180</v>
      </c>
      <c r="AC8" s="15">
        <v>850000</v>
      </c>
      <c r="AD8" s="15">
        <v>780000</v>
      </c>
      <c r="AE8" s="15">
        <v>660000</v>
      </c>
      <c r="AF8" s="15">
        <v>660000</v>
      </c>
      <c r="AG8" s="15">
        <v>560000</v>
      </c>
      <c r="AH8" s="15">
        <v>630000</v>
      </c>
      <c r="AI8" s="15">
        <v>780000</v>
      </c>
      <c r="AJ8" s="15">
        <v>670000</v>
      </c>
      <c r="AK8" s="15">
        <v>860000</v>
      </c>
      <c r="AL8" s="15">
        <v>700000</v>
      </c>
      <c r="AM8" s="15">
        <v>580000</v>
      </c>
      <c r="AN8" s="16">
        <v>720000</v>
      </c>
      <c r="AO8" s="8"/>
    </row>
    <row r="9" spans="1:41" x14ac:dyDescent="0.35">
      <c r="A9" s="4">
        <v>5</v>
      </c>
      <c r="B9" s="28">
        <v>831781</v>
      </c>
      <c r="C9" s="29">
        <v>6300000</v>
      </c>
      <c r="D9" s="29">
        <v>7200000</v>
      </c>
      <c r="E9" s="29">
        <v>5100000</v>
      </c>
      <c r="F9" s="29">
        <v>7000000</v>
      </c>
      <c r="G9" s="29">
        <v>5200000</v>
      </c>
      <c r="H9" s="29">
        <v>5600000</v>
      </c>
      <c r="I9" s="29">
        <v>6200000</v>
      </c>
      <c r="J9" s="29">
        <v>6100000</v>
      </c>
      <c r="K9" s="29">
        <v>6500000</v>
      </c>
      <c r="L9" s="29">
        <v>6300000</v>
      </c>
      <c r="M9" s="29">
        <v>5300000</v>
      </c>
      <c r="N9" s="29">
        <v>6300000</v>
      </c>
      <c r="O9" s="22">
        <v>842685</v>
      </c>
      <c r="P9" s="22">
        <v>500000</v>
      </c>
      <c r="Q9" s="22">
        <v>720000</v>
      </c>
      <c r="R9" s="22">
        <v>750000</v>
      </c>
      <c r="S9" s="22">
        <v>520000</v>
      </c>
      <c r="T9" s="22">
        <v>710000</v>
      </c>
      <c r="U9" s="22">
        <v>720000</v>
      </c>
      <c r="V9" s="22">
        <v>760000</v>
      </c>
      <c r="W9" s="22">
        <v>740000</v>
      </c>
      <c r="X9" s="22">
        <v>550000</v>
      </c>
      <c r="Y9" s="22">
        <v>540000</v>
      </c>
      <c r="Z9" s="22">
        <v>540000</v>
      </c>
      <c r="AA9" s="22">
        <v>640000</v>
      </c>
      <c r="AB9" s="15">
        <v>859537</v>
      </c>
      <c r="AC9" s="15">
        <v>790000</v>
      </c>
      <c r="AD9" s="15">
        <v>490000</v>
      </c>
      <c r="AE9" s="15">
        <v>500000</v>
      </c>
      <c r="AF9" s="15">
        <v>590000</v>
      </c>
      <c r="AG9" s="15">
        <v>580000</v>
      </c>
      <c r="AH9" s="15">
        <v>590000</v>
      </c>
      <c r="AI9" s="15">
        <v>670000</v>
      </c>
      <c r="AJ9" s="15">
        <v>610000</v>
      </c>
      <c r="AK9" s="15">
        <v>620000</v>
      </c>
      <c r="AL9" s="15">
        <v>540000</v>
      </c>
      <c r="AM9" s="15">
        <v>790000</v>
      </c>
      <c r="AN9" s="16">
        <v>480000</v>
      </c>
      <c r="AO9" s="8"/>
    </row>
    <row r="10" spans="1:41" x14ac:dyDescent="0.35">
      <c r="A10" s="4">
        <v>6</v>
      </c>
      <c r="B10" s="28">
        <v>788793</v>
      </c>
      <c r="C10" s="29">
        <v>7100000</v>
      </c>
      <c r="D10" s="29">
        <v>8200000</v>
      </c>
      <c r="E10" s="29">
        <v>8600000</v>
      </c>
      <c r="F10" s="29">
        <v>7300000</v>
      </c>
      <c r="G10" s="29">
        <v>6700000</v>
      </c>
      <c r="H10" s="29">
        <v>6700000</v>
      </c>
      <c r="I10" s="29">
        <v>7700000</v>
      </c>
      <c r="J10" s="29">
        <v>5800000</v>
      </c>
      <c r="K10" s="29">
        <v>6100000</v>
      </c>
      <c r="L10" s="29">
        <v>6500000</v>
      </c>
      <c r="M10" s="29">
        <v>6500000</v>
      </c>
      <c r="N10" s="29">
        <v>6200000</v>
      </c>
      <c r="O10" s="22">
        <v>785123</v>
      </c>
      <c r="P10" s="22">
        <v>620000</v>
      </c>
      <c r="Q10" s="22">
        <v>720000</v>
      </c>
      <c r="R10" s="22">
        <v>760000</v>
      </c>
      <c r="S10" s="22">
        <v>620000</v>
      </c>
      <c r="T10" s="22">
        <v>730000</v>
      </c>
      <c r="U10" s="22">
        <v>870000</v>
      </c>
      <c r="V10" s="22">
        <v>750000</v>
      </c>
      <c r="W10" s="22">
        <v>710000</v>
      </c>
      <c r="X10" s="22">
        <v>810000</v>
      </c>
      <c r="Y10" s="22">
        <v>860000</v>
      </c>
      <c r="Z10" s="22">
        <v>700000</v>
      </c>
      <c r="AA10" s="22">
        <v>800000</v>
      </c>
      <c r="AB10" s="15">
        <v>789536</v>
      </c>
      <c r="AC10" s="15">
        <v>610000</v>
      </c>
      <c r="AD10" s="15">
        <v>720000</v>
      </c>
      <c r="AE10" s="15">
        <v>550000</v>
      </c>
      <c r="AF10" s="15">
        <v>700000</v>
      </c>
      <c r="AG10" s="15">
        <v>730000</v>
      </c>
      <c r="AH10" s="15">
        <v>550000</v>
      </c>
      <c r="AI10" s="15">
        <v>680000</v>
      </c>
      <c r="AJ10" s="15">
        <v>570000</v>
      </c>
      <c r="AK10" s="15">
        <v>750000</v>
      </c>
      <c r="AL10" s="15">
        <v>560000</v>
      </c>
      <c r="AM10" s="15">
        <v>670000</v>
      </c>
      <c r="AN10" s="16">
        <v>870000</v>
      </c>
      <c r="AO10" s="8"/>
    </row>
    <row r="11" spans="1:41" x14ac:dyDescent="0.35">
      <c r="A11" s="4">
        <v>7</v>
      </c>
      <c r="B11" s="28">
        <v>878639</v>
      </c>
      <c r="C11" s="29">
        <v>7100000</v>
      </c>
      <c r="D11" s="29">
        <v>7000000</v>
      </c>
      <c r="E11" s="29">
        <v>6200000</v>
      </c>
      <c r="F11" s="29">
        <v>5400000</v>
      </c>
      <c r="G11" s="29">
        <v>8400000</v>
      </c>
      <c r="H11" s="29">
        <v>8400000</v>
      </c>
      <c r="I11" s="29">
        <v>8600000</v>
      </c>
      <c r="J11" s="29">
        <v>6200000</v>
      </c>
      <c r="K11" s="29">
        <v>7800000</v>
      </c>
      <c r="L11" s="29">
        <v>5500000</v>
      </c>
      <c r="M11" s="29">
        <v>6700000</v>
      </c>
      <c r="N11" s="29">
        <v>6500000</v>
      </c>
      <c r="O11" s="22">
        <v>816616</v>
      </c>
      <c r="P11" s="22">
        <v>750000</v>
      </c>
      <c r="Q11" s="22">
        <v>890000</v>
      </c>
      <c r="R11" s="22">
        <v>630000</v>
      </c>
      <c r="S11" s="22">
        <v>600000</v>
      </c>
      <c r="T11" s="22">
        <v>730000</v>
      </c>
      <c r="U11" s="22">
        <v>550000</v>
      </c>
      <c r="V11" s="22">
        <v>840000</v>
      </c>
      <c r="W11" s="22">
        <v>530000</v>
      </c>
      <c r="X11" s="22">
        <v>770000</v>
      </c>
      <c r="Y11" s="22">
        <v>720000</v>
      </c>
      <c r="Z11" s="22">
        <v>760000</v>
      </c>
      <c r="AA11" s="22">
        <v>860000</v>
      </c>
      <c r="AB11" s="15">
        <v>736313</v>
      </c>
      <c r="AC11" s="15">
        <v>700000</v>
      </c>
      <c r="AD11" s="15">
        <v>870000</v>
      </c>
      <c r="AE11" s="15">
        <v>870000</v>
      </c>
      <c r="AF11" s="15">
        <v>710000</v>
      </c>
      <c r="AG11" s="15">
        <v>710000</v>
      </c>
      <c r="AH11" s="15">
        <v>870000</v>
      </c>
      <c r="AI11" s="15">
        <v>890000</v>
      </c>
      <c r="AJ11" s="15">
        <v>640000</v>
      </c>
      <c r="AK11" s="15">
        <v>820000</v>
      </c>
      <c r="AL11" s="15">
        <v>700000</v>
      </c>
      <c r="AM11" s="15">
        <v>580000</v>
      </c>
      <c r="AN11" s="16">
        <v>750000</v>
      </c>
      <c r="AO11" s="8"/>
    </row>
    <row r="12" spans="1:41" x14ac:dyDescent="0.35">
      <c r="A12" s="4">
        <v>8</v>
      </c>
      <c r="B12" s="28">
        <v>894819</v>
      </c>
      <c r="C12" s="29">
        <v>7300000</v>
      </c>
      <c r="D12" s="29">
        <v>8200000</v>
      </c>
      <c r="E12" s="29">
        <v>7400000</v>
      </c>
      <c r="F12" s="29">
        <v>8400000</v>
      </c>
      <c r="G12" s="29">
        <v>9100000</v>
      </c>
      <c r="H12" s="29">
        <v>8200000</v>
      </c>
      <c r="I12" s="29">
        <v>8500000</v>
      </c>
      <c r="J12" s="29">
        <v>7200000</v>
      </c>
      <c r="K12" s="29">
        <v>5600000</v>
      </c>
      <c r="L12" s="29">
        <v>7800000</v>
      </c>
      <c r="M12" s="29">
        <v>6200000</v>
      </c>
      <c r="N12" s="29">
        <v>8400000</v>
      </c>
      <c r="O12" s="22">
        <v>847989</v>
      </c>
      <c r="P12" s="22">
        <v>560000</v>
      </c>
      <c r="Q12" s="22">
        <v>550000</v>
      </c>
      <c r="R12" s="22">
        <v>650000</v>
      </c>
      <c r="S12" s="22">
        <v>830000</v>
      </c>
      <c r="T12" s="22">
        <v>740000</v>
      </c>
      <c r="U12" s="22">
        <v>890000</v>
      </c>
      <c r="V12" s="22">
        <v>880000</v>
      </c>
      <c r="W12" s="22">
        <v>850000</v>
      </c>
      <c r="X12" s="22">
        <v>640000</v>
      </c>
      <c r="Y12" s="22">
        <v>810000</v>
      </c>
      <c r="Z12" s="22">
        <v>690000</v>
      </c>
      <c r="AA12" s="22">
        <v>580000</v>
      </c>
      <c r="AB12" s="15">
        <v>913455</v>
      </c>
      <c r="AC12" s="15">
        <v>570000</v>
      </c>
      <c r="AD12" s="15">
        <v>660000</v>
      </c>
      <c r="AE12" s="15">
        <v>570000</v>
      </c>
      <c r="AF12" s="15">
        <v>850000</v>
      </c>
      <c r="AG12" s="15">
        <v>740000</v>
      </c>
      <c r="AH12" s="15">
        <v>720000</v>
      </c>
      <c r="AI12" s="15">
        <v>850000</v>
      </c>
      <c r="AJ12" s="15">
        <v>790000</v>
      </c>
      <c r="AK12" s="15">
        <v>630000</v>
      </c>
      <c r="AL12" s="15">
        <v>690000</v>
      </c>
      <c r="AM12" s="15">
        <v>870000</v>
      </c>
      <c r="AN12" s="16">
        <v>610000</v>
      </c>
      <c r="AO12" s="8"/>
    </row>
    <row r="13" spans="1:41" x14ac:dyDescent="0.35">
      <c r="A13" s="4">
        <v>9</v>
      </c>
      <c r="B13" s="28">
        <v>770706</v>
      </c>
      <c r="C13" s="29">
        <v>6800000</v>
      </c>
      <c r="D13" s="29">
        <v>6500000</v>
      </c>
      <c r="E13" s="29">
        <v>7900000</v>
      </c>
      <c r="F13" s="29">
        <v>7500000</v>
      </c>
      <c r="G13" s="29">
        <v>7100000</v>
      </c>
      <c r="H13" s="29">
        <v>7300000</v>
      </c>
      <c r="I13" s="29">
        <v>7700000</v>
      </c>
      <c r="J13" s="29">
        <v>6800000</v>
      </c>
      <c r="K13" s="29">
        <v>7500000</v>
      </c>
      <c r="L13" s="29">
        <v>5600000</v>
      </c>
      <c r="M13" s="29">
        <v>6500000</v>
      </c>
      <c r="N13" s="29">
        <v>8000000</v>
      </c>
      <c r="O13" s="22">
        <v>789495</v>
      </c>
      <c r="P13" s="22">
        <v>580000</v>
      </c>
      <c r="Q13" s="22">
        <v>570000</v>
      </c>
      <c r="R13" s="22">
        <v>630000</v>
      </c>
      <c r="S13" s="22">
        <v>630000</v>
      </c>
      <c r="T13" s="22">
        <v>590000</v>
      </c>
      <c r="U13" s="22">
        <v>590000</v>
      </c>
      <c r="V13" s="22">
        <v>610000</v>
      </c>
      <c r="W13" s="22">
        <v>830000</v>
      </c>
      <c r="X13" s="22">
        <v>760000</v>
      </c>
      <c r="Y13" s="22">
        <v>680000</v>
      </c>
      <c r="Z13" s="22">
        <v>780000</v>
      </c>
      <c r="AA13" s="22">
        <v>570000</v>
      </c>
      <c r="AB13" s="15">
        <v>898639</v>
      </c>
      <c r="AC13" s="15">
        <v>780000</v>
      </c>
      <c r="AD13" s="15">
        <v>680000</v>
      </c>
      <c r="AE13" s="15">
        <v>610000</v>
      </c>
      <c r="AF13" s="15">
        <v>800000</v>
      </c>
      <c r="AG13" s="15">
        <v>750000</v>
      </c>
      <c r="AH13" s="15">
        <v>800000</v>
      </c>
      <c r="AI13" s="15">
        <v>580000</v>
      </c>
      <c r="AJ13" s="15">
        <v>690000</v>
      </c>
      <c r="AK13" s="15">
        <v>690000</v>
      </c>
      <c r="AL13" s="15">
        <v>610000</v>
      </c>
      <c r="AM13" s="15">
        <v>830000</v>
      </c>
      <c r="AN13" s="16">
        <v>790000</v>
      </c>
      <c r="AO13" s="8"/>
    </row>
    <row r="14" spans="1:41" x14ac:dyDescent="0.35">
      <c r="A14" s="4">
        <v>10</v>
      </c>
      <c r="B14" s="28">
        <v>903309</v>
      </c>
      <c r="C14" s="29">
        <v>7300000</v>
      </c>
      <c r="D14" s="29">
        <v>5500000</v>
      </c>
      <c r="E14" s="29">
        <v>7200000</v>
      </c>
      <c r="F14" s="29">
        <v>6100000</v>
      </c>
      <c r="G14" s="29">
        <v>8100000</v>
      </c>
      <c r="H14" s="29">
        <v>7400000</v>
      </c>
      <c r="I14" s="29">
        <v>6200000</v>
      </c>
      <c r="J14" s="29">
        <v>7400000</v>
      </c>
      <c r="K14" s="29">
        <v>6800000</v>
      </c>
      <c r="L14" s="29">
        <v>6600000</v>
      </c>
      <c r="M14" s="29">
        <v>9100000</v>
      </c>
      <c r="N14" s="29">
        <v>7100000</v>
      </c>
      <c r="O14" s="22">
        <v>766561</v>
      </c>
      <c r="P14" s="22">
        <v>660000</v>
      </c>
      <c r="Q14" s="22">
        <v>850000</v>
      </c>
      <c r="R14" s="22">
        <v>650000</v>
      </c>
      <c r="S14" s="22">
        <v>640000</v>
      </c>
      <c r="T14" s="22">
        <v>860000</v>
      </c>
      <c r="U14" s="22">
        <v>840000</v>
      </c>
      <c r="V14" s="22">
        <v>580000</v>
      </c>
      <c r="W14" s="22">
        <v>830000</v>
      </c>
      <c r="X14" s="22">
        <v>740000</v>
      </c>
      <c r="Y14" s="22">
        <v>890000</v>
      </c>
      <c r="Z14" s="22">
        <v>820000</v>
      </c>
      <c r="AA14" s="22">
        <v>580000</v>
      </c>
      <c r="AB14" s="15">
        <v>922903</v>
      </c>
      <c r="AC14" s="15">
        <v>840000</v>
      </c>
      <c r="AD14" s="15">
        <v>770000</v>
      </c>
      <c r="AE14" s="15">
        <v>690000</v>
      </c>
      <c r="AF14" s="15">
        <v>800000</v>
      </c>
      <c r="AG14" s="15">
        <v>830000</v>
      </c>
      <c r="AH14" s="15">
        <v>880000</v>
      </c>
      <c r="AI14" s="15">
        <v>840000</v>
      </c>
      <c r="AJ14" s="15">
        <v>580000</v>
      </c>
      <c r="AK14" s="15">
        <v>830000</v>
      </c>
      <c r="AL14" s="15">
        <v>630000</v>
      </c>
      <c r="AM14" s="15">
        <v>910000</v>
      </c>
      <c r="AN14" s="16">
        <v>820000</v>
      </c>
      <c r="AO14" s="8"/>
    </row>
    <row r="15" spans="1:41" ht="15" thickBot="1" x14ac:dyDescent="0.4">
      <c r="A15" s="4">
        <v>11</v>
      </c>
      <c r="B15" s="28">
        <v>880432</v>
      </c>
      <c r="C15" s="29">
        <v>6600000</v>
      </c>
      <c r="D15" s="29">
        <v>6600000</v>
      </c>
      <c r="E15" s="29">
        <v>5900000</v>
      </c>
      <c r="F15" s="29">
        <v>7400000</v>
      </c>
      <c r="G15" s="29">
        <v>6300000</v>
      </c>
      <c r="H15" s="29">
        <v>7300000</v>
      </c>
      <c r="I15" s="29">
        <v>7700000</v>
      </c>
      <c r="J15" s="29">
        <v>5900000</v>
      </c>
      <c r="K15" s="29">
        <v>7100000</v>
      </c>
      <c r="L15" s="29">
        <v>8300000</v>
      </c>
      <c r="M15" s="29">
        <v>5200000</v>
      </c>
      <c r="N15" s="29">
        <v>8000000</v>
      </c>
      <c r="O15" s="22">
        <v>766749</v>
      </c>
      <c r="P15" s="22">
        <v>550000</v>
      </c>
      <c r="Q15" s="22">
        <v>530000</v>
      </c>
      <c r="R15" s="22">
        <v>550000</v>
      </c>
      <c r="S15" s="22">
        <v>500000</v>
      </c>
      <c r="T15" s="22">
        <v>670000</v>
      </c>
      <c r="U15" s="22">
        <v>810000</v>
      </c>
      <c r="V15" s="22">
        <v>530000</v>
      </c>
      <c r="W15" s="22">
        <v>720000</v>
      </c>
      <c r="X15" s="22">
        <v>710000</v>
      </c>
      <c r="Y15" s="22">
        <v>510000</v>
      </c>
      <c r="Z15" s="22">
        <v>760000</v>
      </c>
      <c r="AA15" s="22">
        <v>670000</v>
      </c>
      <c r="AB15" s="15">
        <v>828398</v>
      </c>
      <c r="AC15" s="15">
        <v>540000</v>
      </c>
      <c r="AD15" s="15">
        <v>750000</v>
      </c>
      <c r="AE15" s="15">
        <v>750000</v>
      </c>
      <c r="AF15" s="15">
        <v>570000</v>
      </c>
      <c r="AG15" s="15">
        <v>690000</v>
      </c>
      <c r="AH15" s="15">
        <v>790000</v>
      </c>
      <c r="AI15" s="15">
        <v>790000</v>
      </c>
      <c r="AJ15" s="15">
        <v>530000</v>
      </c>
      <c r="AK15" s="15">
        <v>710000</v>
      </c>
      <c r="AL15" s="15">
        <v>810000</v>
      </c>
      <c r="AM15" s="15">
        <v>620000</v>
      </c>
      <c r="AN15" s="16">
        <v>680000</v>
      </c>
      <c r="AO15" s="8"/>
    </row>
    <row r="16" spans="1:41" s="1" customFormat="1" ht="22.25" customHeight="1" thickBot="1" x14ac:dyDescent="0.4">
      <c r="A16" s="6" t="s">
        <v>0</v>
      </c>
      <c r="B16" s="30">
        <f t="shared" ref="B16:AB16" si="0">SUM(B5:B15)</f>
        <v>9294034</v>
      </c>
      <c r="C16" s="30">
        <f t="shared" si="0"/>
        <v>75500000</v>
      </c>
      <c r="D16" s="30">
        <f>SUM(D5:D15)</f>
        <v>76500000</v>
      </c>
      <c r="E16" s="30">
        <f t="shared" si="0"/>
        <v>78600000</v>
      </c>
      <c r="F16" s="30">
        <f t="shared" si="0"/>
        <v>75200000</v>
      </c>
      <c r="G16" s="30">
        <f t="shared" si="0"/>
        <v>76500000</v>
      </c>
      <c r="H16" s="30">
        <f t="shared" si="0"/>
        <v>78100000</v>
      </c>
      <c r="I16" s="30">
        <f t="shared" si="0"/>
        <v>82600000</v>
      </c>
      <c r="J16" s="30">
        <f t="shared" si="0"/>
        <v>71600000</v>
      </c>
      <c r="K16" s="30">
        <f t="shared" si="0"/>
        <v>72400000</v>
      </c>
      <c r="L16" s="30">
        <f t="shared" si="0"/>
        <v>75100000</v>
      </c>
      <c r="M16" s="30">
        <f t="shared" si="0"/>
        <v>69700000</v>
      </c>
      <c r="N16" s="30">
        <f t="shared" si="0"/>
        <v>77500000</v>
      </c>
      <c r="O16" s="23">
        <f t="shared" si="0"/>
        <v>9048875</v>
      </c>
      <c r="P16" s="23">
        <f t="shared" si="0"/>
        <v>6760000</v>
      </c>
      <c r="Q16" s="23">
        <f t="shared" si="0"/>
        <v>7630000</v>
      </c>
      <c r="R16" s="23">
        <f t="shared" si="0"/>
        <v>7240000</v>
      </c>
      <c r="S16" s="23">
        <f t="shared" si="0"/>
        <v>7100000</v>
      </c>
      <c r="T16" s="23">
        <f t="shared" si="0"/>
        <v>7810000</v>
      </c>
      <c r="U16" s="23">
        <f t="shared" si="0"/>
        <v>8190000</v>
      </c>
      <c r="V16" s="23">
        <f t="shared" si="0"/>
        <v>7630000</v>
      </c>
      <c r="W16" s="23">
        <f t="shared" si="0"/>
        <v>8050000</v>
      </c>
      <c r="X16" s="23">
        <f t="shared" si="0"/>
        <v>7570000</v>
      </c>
      <c r="Y16" s="23">
        <f t="shared" si="0"/>
        <v>7440000</v>
      </c>
      <c r="Z16" s="23">
        <f t="shared" si="0"/>
        <v>7530000</v>
      </c>
      <c r="AA16" s="23">
        <f t="shared" si="0"/>
        <v>7720000</v>
      </c>
      <c r="AB16" s="17">
        <f t="shared" si="0"/>
        <v>9298690</v>
      </c>
      <c r="AC16" s="17">
        <v>8320000</v>
      </c>
      <c r="AD16" s="17">
        <v>8710000</v>
      </c>
      <c r="AE16" s="17">
        <v>7660000</v>
      </c>
      <c r="AF16" s="17">
        <v>8280000</v>
      </c>
      <c r="AG16" s="17">
        <v>8370000</v>
      </c>
      <c r="AH16" s="17">
        <v>8730000</v>
      </c>
      <c r="AI16" s="17">
        <v>8820000</v>
      </c>
      <c r="AJ16" s="17">
        <v>7830000</v>
      </c>
      <c r="AK16" s="17">
        <v>8500000</v>
      </c>
      <c r="AL16" s="17">
        <v>7980000</v>
      </c>
      <c r="AM16" s="17">
        <v>8650000</v>
      </c>
      <c r="AN16" s="18">
        <v>8460000</v>
      </c>
      <c r="AO16" s="9"/>
    </row>
  </sheetData>
  <mergeCells count="5">
    <mergeCell ref="A1:AN1"/>
    <mergeCell ref="A3:A4"/>
    <mergeCell ref="B3:N3"/>
    <mergeCell ref="O3:AA3"/>
    <mergeCell ref="AB3:AN3"/>
  </mergeCells>
  <phoneticPr fontId="3" type="noConversion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FCD77ADBFFA44ABAE1B080C9AF04A" ma:contentTypeVersion="7" ma:contentTypeDescription="Create a new document." ma:contentTypeScope="" ma:versionID="5f28b9bfb56106e63cfbf7da41f6ba8b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a387e4b2c8e61192022c373ab931a8c5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78C6C0-2D17-471C-90B5-4BE067B8C4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1532b-51c5-4cd3-a238-89e977dd07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115C3A-7C06-4F83-BF6B-DE212AFF05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C8712B6-4F4F-4D3A-BB9B-DE289C1E2C3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cfc8c2f-5b5e-4f0b-af95-b31eaf277d35}" enabled="1" method="Standard" siteId="{124ccfbd-07ea-44e3-8794-af8986d6380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Gulzat Duisenbek</cp:lastModifiedBy>
  <dcterms:created xsi:type="dcterms:W3CDTF">2018-09-17T03:09:48Z</dcterms:created>
  <dcterms:modified xsi:type="dcterms:W3CDTF">2025-09-12T17:48:53Z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